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9079dfc1d148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erating Model" sheetId="1" r:id="Rcbbe431231004b5f"/>
    <x:sheet xmlns:r="http://schemas.openxmlformats.org/officeDocument/2006/relationships" name="Sources &amp; Checks" sheetId="2" r:id="Rc824258404a545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%"/>
    <x:numFmt numFmtId="202" formatCode="£0.0;[Red](£0.0);-"/>
    <x:numFmt numFmtId="203" formatCode="0.0%;[Red](0.0%);-"/>
  </x:numFmts>
  <x:fonts count="16">
    <x:font>
      <x:sz val="11"/>
      <x:name val="Carlito"/>
    </x:font>
    <x:font>
      <x:b/>
      <x:sz val="16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  <x:font>
      <x:sz val="11"/>
      <x:color rgb="FF0000FF"/>
      <x:name val="Carlito"/>
    </x:font>
    <x:font>
      <x:i/>
      <x:sz val="11"/>
      <x:color rgb="FF374151"/>
      <x:name val="Carlito"/>
    </x:font>
    <x:font>
      <x:b/>
      <x:sz val="10"/>
      <x:color rgb="FFFFFFFF"/>
      <x:name val="Aptos"/>
    </x:font>
    <x:font>
      <x:sz val="10"/>
      <x:name val="Aptos"/>
    </x:font>
    <x:font>
      <x:sz val="10"/>
      <x:color rgb="FF1F2937"/>
      <x:name val="Aptos"/>
    </x:font>
    <x:font>
      <x:sz val="10"/>
      <x:color rgb="FF000000"/>
      <x:name val="Aptos"/>
    </x:font>
    <x:font>
      <x:sz val="10"/>
      <x:color rgb="FF0000FF"/>
      <x:name val="Aptos"/>
    </x:font>
    <x:font>
      <x:i/>
      <x:sz val="10"/>
      <x:color rgb="FF374151"/>
      <x:name val="Aptos"/>
    </x:font>
    <x:font>
      <x:b/>
      <x:sz val="16"/>
      <x:color rgb="FFFFFFFF"/>
      <x:name val="Aptos Display"/>
    </x:font>
    <x:font>
      <x:b/>
      <x:sz val="11"/>
      <x:color rgb="FF1F2937"/>
      <x:name val="Carlito"/>
    </x:font>
    <x:font>
      <x:b/>
      <x:sz val="10"/>
      <x:color rgb="FF1F2937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F3F4F6"/>
      </x:patternFill>
    </x:fill>
  </x:fills>
  <x:borders count="3">
    <x:border/>
    <x:border>
      <x:bottom style="double">
        <x:color rgb="FF17365D"/>
      </x:bottom>
    </x:border>
    <x:border>
      <x:top style="thin">
        <x:color rgb="FF7F8C8D"/>
      </x:top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200" fontId="5" fillId="4" borderId="0" xfId="0" applyNumberFormat="1" applyFont="1" applyFill="1" applyBorder="1"/>
    <x:xf numFmtId="201" fontId="5" fillId="4" borderId="0" xfId="0" applyNumberFormat="1" applyFont="1" applyFill="1" applyBorder="1"/>
    <x:xf numFmtId="201" fontId="4" fillId="4" borderId="0" xfId="0" applyNumberFormat="1" applyFont="1" applyFill="1" applyBorder="1"/>
    <x:xf numFmtId="200" fontId="4" fillId="4" borderId="0" xfId="0" applyNumberFormat="1" applyFont="1" applyFill="1" applyBorder="1"/>
    <x:xf numFmtId="200" fontId="0" fillId="5" borderId="0" xfId="0" applyNumberFormat="1" applyFont="1" applyFill="1" applyBorder="1"/>
    <x:xf numFmtId="201" fontId="0" fillId="5" borderId="0" xfId="0" applyNumberFormat="1" applyFont="1" applyFill="1" applyBorder="1"/>
    <x:xf numFmtId="200" fontId="5" fillId="5" borderId="0" xfId="0" applyNumberFormat="1" applyFont="1" applyFill="1" applyBorder="1"/>
    <x:xf numFmtId="201" fontId="5" fillId="5" borderId="0" xfId="0" applyNumberFormat="1" applyFont="1" applyFill="1" applyBorder="1"/>
    <x:xf numFmtId="201" fontId="4" fillId="5" borderId="0" xfId="0" applyNumberFormat="1" applyFont="1" applyFill="1" applyBorder="1"/>
    <x:xf numFmtId="200" fontId="4" fillId="5" borderId="0" xfId="0" applyNumberFormat="1" applyFont="1" applyFill="1" applyBorder="1"/>
    <x:xf numFmtId="202" fontId="4" fillId="0" borderId="0" xfId="0" applyNumberFormat="1" applyFont="1" applyFill="1" applyBorder="1"/>
    <x:xf numFmtId="202" fontId="5" fillId="4" borderId="0" xfId="0" applyNumberFormat="1" applyFont="1" applyFill="1" applyBorder="1"/>
    <x:xf numFmtId="202" fontId="5" fillId="5" borderId="0" xfId="0" applyNumberFormat="1" applyFont="1" applyFill="1" applyBorder="1"/>
    <x:xf numFmtId="203" fontId="4" fillId="0" borderId="0" xfId="0" applyNumberFormat="1" applyFont="1" applyFill="1" applyBorder="1"/>
    <x:xf numFmtId="203" fontId="4" fillId="4" borderId="0" xfId="0" applyNumberFormat="1" applyFont="1" applyFill="1" applyBorder="1"/>
    <x:xf numFmtId="203" fontId="4" fillId="5" borderId="0" xfId="0" applyNumberFormat="1" applyFont="1" applyFill="1" applyBorder="1"/>
    <x:xf numFmtId="202" fontId="4" fillId="4" borderId="0" xfId="0" applyNumberFormat="1" applyFont="1" applyFill="1" applyBorder="1"/>
    <x:xf numFmtId="202" fontId="4" fillId="5" borderId="0" xfId="0" applyNumberFormat="1" applyFont="1" applyFill="1" applyBorder="1"/>
    <x:xf numFmtId="0" fontId="0" fillId="0" borderId="2" xfId="0" applyNumberFormat="1" applyFont="1" applyFill="1" applyBorder="1"/>
    <x:xf numFmtId="202" fontId="4" fillId="0" borderId="2" xfId="0" applyNumberFormat="1" applyFont="1" applyFill="1" applyBorder="1"/>
    <x:xf numFmtId="202" fontId="4" fillId="4" borderId="2" xfId="0" applyNumberFormat="1" applyFont="1" applyFill="1" applyBorder="1"/>
    <x:xf numFmtId="202" fontId="4" fillId="5" borderId="2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9" fillId="3" borderId="0" xfId="0" applyNumberFormat="1" applyFont="1" applyFill="1" applyBorder="1"/>
    <x:xf numFmtId="0" fontId="7" fillId="2" borderId="1" xfId="0" applyNumberFormat="1" applyFont="1" applyFill="1" applyBorder="1"/>
    <x:xf numFmtId="202" fontId="10" fillId="0" borderId="0" xfId="0" applyNumberFormat="1" applyFont="1" applyFill="1" applyBorder="1"/>
    <x:xf numFmtId="202" fontId="11" fillId="4" borderId="0" xfId="0" applyNumberFormat="1" applyFont="1" applyFill="1" applyBorder="1"/>
    <x:xf numFmtId="202" fontId="11" fillId="5" borderId="0" xfId="0" applyNumberFormat="1" applyFont="1" applyFill="1" applyBorder="1"/>
    <x:xf numFmtId="203" fontId="10" fillId="0" borderId="0" xfId="0" applyNumberFormat="1" applyFont="1" applyFill="1" applyBorder="1"/>
    <x:xf numFmtId="203" fontId="10" fillId="4" borderId="0" xfId="0" applyNumberFormat="1" applyFont="1" applyFill="1" applyBorder="1"/>
    <x:xf numFmtId="203" fontId="10" fillId="5" borderId="0" xfId="0" applyNumberFormat="1" applyFont="1" applyFill="1" applyBorder="1"/>
    <x:xf numFmtId="202" fontId="10" fillId="4" borderId="0" xfId="0" applyNumberFormat="1" applyFont="1" applyFill="1" applyBorder="1"/>
    <x:xf numFmtId="0" fontId="8" fillId="0" borderId="2" xfId="0" applyNumberFormat="1" applyFont="1" applyFill="1" applyBorder="1"/>
    <x:xf numFmtId="202" fontId="10" fillId="0" borderId="2" xfId="0" applyNumberFormat="1" applyFont="1" applyFill="1" applyBorder="1"/>
    <x:xf numFmtId="202" fontId="10" fillId="4" borderId="2" xfId="0" applyNumberFormat="1" applyFont="1" applyFill="1" applyBorder="1"/>
    <x:xf numFmtId="202" fontId="10" fillId="5" borderId="2" xfId="0" applyNumberFormat="1" applyFont="1" applyFill="1" applyBorder="1"/>
    <x:xf numFmtId="0" fontId="12" fillId="6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 applyAlignment="1">
      <x:alignment vertical="center"/>
    </x:xf>
    <x:xf numFmtId="0" fontId="13" fillId="2" borderId="0" xfId="0" applyNumberFormat="1" applyFont="1" applyFill="1" applyBorder="1"/>
    <x:xf numFmtId="0" fontId="14" fillId="3" borderId="0" xfId="0" applyNumberFormat="1" applyFont="1" applyFill="1" applyBorder="1"/>
    <x:xf numFmtId="0" fontId="14" fillId="3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15" fillId="3" borderId="1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15" fillId="3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d75e5d6ff44e34" /><Relationship Type="http://schemas.openxmlformats.org/officeDocument/2006/relationships/theme" Target="/xl/theme/theme1.xml" Id="Re59a0e8879a3429e" /><Relationship Type="http://schemas.openxmlformats.org/officeDocument/2006/relationships/sharedStrings" Target="/xl/sharedStrings.xml" Id="Ra58bed0ad9404e6b" /><Relationship Type="http://schemas.openxmlformats.org/officeDocument/2006/relationships/worksheet" Target="/xl/worksheets/sheet1.xml" Id="Rcbbe431231004b5f" /><Relationship Type="http://schemas.openxmlformats.org/officeDocument/2006/relationships/worksheet" Target="/xl/worksheets/sheet2.xml" Id="Rc824258404a545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30" customHeight="1">
      <x:c r="A1" s="55" t="str">
        <x:v>Acorn Data — Operating Model</x:v>
      </x:c>
      <x:c r="B1" s="55"/>
      <x:c r="C1" s="55"/>
      <x:c r="D1" s="55"/>
      <x:c r="E1" s="55"/>
    </x:row>
    <x:row r="2">
      <x:c r="A2" s="40"/>
      <x:c r="B2" s="40"/>
      <x:c r="C2" s="40"/>
      <x:c r="D2" s="40"/>
      <x:c r="E2" s="40"/>
    </x:row>
    <x:row r="3">
      <x:c r="A3" s="41" t="str">
        <x:v>Currency / units</x:v>
      </x:c>
      <x:c r="B3" s="41" t="str">
        <x:v>GBP millions</x:v>
      </x:c>
      <x:c r="C3" s="41"/>
      <x:c r="D3" s="41" t="str">
        <x:v>Fixture status</x:v>
      </x:c>
      <x:c r="E3" s="41" t="str">
        <x:v>Protected client original</x:v>
      </x:c>
    </x:row>
    <x:row r="4">
      <x:c r="A4" s="40"/>
      <x:c r="B4" s="40"/>
      <x:c r="C4" s="40"/>
      <x:c r="D4" s="40"/>
      <x:c r="E4" s="40"/>
    </x:row>
    <x:row r="5">
      <x:c r="A5" s="42" t="str">
        <x:v>Metric</x:v>
      </x:c>
      <x:c r="B5" s="42" t="str">
        <x:v>Q1 Actual</x:v>
      </x:c>
      <x:c r="C5" s="42" t="str">
        <x:v>Q2 Actual</x:v>
      </x:c>
      <x:c r="D5" s="42" t="str">
        <x:v>Q3 Forecast</x:v>
      </x:c>
      <x:c r="E5" s="42" t="str">
        <x:v>Q4 Forecast</x:v>
      </x:c>
    </x:row>
    <x:row r="6">
      <x:c r="A6" s="40" t="str">
        <x:v>Revenue</x:v>
      </x:c>
      <x:c r="B6" s="43" t="n">
        <x:v>11.8</x:v>
      </x:c>
      <x:c r="C6" s="44"/>
      <x:c r="D6" s="45" t="n">
        <x:v>13.5</x:v>
      </x:c>
      <x:c r="E6" s="45" t="n">
        <x:v>14.6</x:v>
      </x:c>
    </x:row>
    <x:row r="7">
      <x:c r="A7" s="40" t="str">
        <x:v>Gross profit</x:v>
      </x:c>
      <x:c r="B7" s="43" t="n">
        <x:v>7.6</x:v>
      </x:c>
      <x:c r="C7" s="44"/>
      <x:c r="D7" s="45" t="n">
        <x:v>8.8</x:v>
      </x:c>
      <x:c r="E7" s="45" t="n">
        <x:v>9.6</x:v>
      </x:c>
    </x:row>
    <x:row r="8">
      <x:c r="A8" s="40" t="str">
        <x:v>Gross margin</x:v>
      </x:c>
      <x:c r="B8" s="46" t="n">
        <x:f>IF(B6=0,0,B7/B6)</x:f>
        <x:v>0.6440677966101694</x:v>
      </x:c>
      <x:c r="C8" s="47" t="n">
        <x:f>IF(C6=0,0,C7/C6)</x:f>
        <x:v>0</x:v>
      </x:c>
      <x:c r="D8" s="48" t="n">
        <x:f>IF(D6=0,0,D7/D6)</x:f>
        <x:v>0.6518518518518519</x:v>
      </x:c>
      <x:c r="E8" s="48" t="n">
        <x:f>IF(E6=0,0,E7/E6)</x:f>
        <x:v>0.6575342465753424</x:v>
      </x:c>
    </x:row>
    <x:row r="9">
      <x:c r="A9" s="40" t="str">
        <x:v>Sales &amp; marketing expense</x:v>
      </x:c>
      <x:c r="B9" s="43" t="n">
        <x:v>3.8</x:v>
      </x:c>
      <x:c r="C9" s="49"/>
      <x:c r="D9" s="45" t="n">
        <x:v>4.2</x:v>
      </x:c>
      <x:c r="E9" s="45" t="n">
        <x:v>4.4</x:v>
      </x:c>
    </x:row>
    <x:row r="10">
      <x:c r="A10" s="50" t="str">
        <x:v>Contribution after S&amp;M</x:v>
      </x:c>
      <x:c r="B10" s="51" t="n">
        <x:f>ROUND(B7-B9,1)</x:f>
        <x:v>3.8</x:v>
      </x:c>
      <x:c r="C10" s="52" t="n">
        <x:f>ROUND(C7-C9,1)</x:f>
        <x:v>0</x:v>
      </x:c>
      <x:c r="D10" s="53" t="n">
        <x:f>ROUND(D7-D9,1)</x:f>
        <x:v>4.6</x:v>
      </x:c>
      <x:c r="E10" s="53" t="n">
        <x:f>ROUND(E7-E9,1)</x:f>
        <x:v>5.2</x:v>
      </x:c>
    </x:row>
    <x:row r="11">
      <x:c r="A11" s="40" t="str">
        <x:v>Closing cash</x:v>
      </x:c>
      <x:c r="B11" s="43" t="n">
        <x:v>19.5</x:v>
      </x:c>
      <x:c r="C11" s="44"/>
      <x:c r="D11" s="45" t="n">
        <x:v>17.2</x:v>
      </x:c>
      <x:c r="E11" s="45" t="n">
        <x:v>15.8</x:v>
      </x:c>
    </x:row>
    <x:row r="12">
      <x:c r="A12" s="40"/>
      <x:c r="B12" s="40"/>
      <x:c r="C12" s="40"/>
      <x:c r="D12" s="40"/>
      <x:c r="E12" s="40"/>
    </x:row>
    <x:row r="13" ht="42" customHeight="1">
      <x:c r="A13" s="54" t="str">
        <x:v>Q2 update boundary</x:v>
      </x:c>
      <x:c r="B13" s="54"/>
      <x:c r="C13" s="54" t="str">
        <x:v>Only C6, C7, C9 and C11 may receive source-backed actuals. Preserve formulas C8/C10 and every forecast cell D:E.</x:v>
      </x:c>
      <x:c r="D13" s="54"/>
      <x:c r="E13" s="54"/>
    </x:row>
  </x:sheetData>
  <x:mergeCells>
    <x:mergeCell ref="A1:E1"/>
    <x:mergeCell ref="C13:E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30" hidden="0" customWidth="1"/>
    <x:col min="3" max="3" width="24" hidden="0" customWidth="1"/>
    <x:col min="4" max="4" width="24" hidden="0" customWidth="1"/>
    <x:col min="5" max="5" width="14" hidden="0" customWidth="1"/>
    <x:col min="6" max="6" width="32" hidden="0" customWidth="1"/>
  </x:cols>
  <x:sheetData>
    <x:row r="1">
      <x:c r="A1" s="56" t="str">
        <x:v>Fixture audit contract</x:v>
      </x:c>
      <x:c r="B1" s="56"/>
      <x:c r="C1" s="56"/>
      <x:c r="D1" s="56"/>
      <x:c r="E1" s="56"/>
      <x:c r="F1" s="56"/>
    </x:row>
    <x:row r="2">
      <x:c r="A2" s="40"/>
      <x:c r="B2" s="40"/>
      <x:c r="C2" s="40"/>
      <x:c r="D2" s="40"/>
      <x:c r="E2" s="40"/>
      <x:c r="F2" s="40"/>
    </x:row>
    <x:row r="3">
      <x:c r="A3" s="63" t="str">
        <x:v>Assertion</x:v>
      </x:c>
      <x:c r="B3" s="63" t="str">
        <x:v>Target</x:v>
      </x:c>
      <x:c r="C3" s="63" t="str">
        <x:v>Expected</x:v>
      </x:c>
      <x:c r="D3" s="63" t="str">
        <x:v>Actual</x:v>
      </x:c>
      <x:c r="E3" s="63" t="str">
        <x:v>Status</x:v>
      </x:c>
      <x:c r="F3" s="63" t="str">
        <x:v>Reason</x:v>
      </x:c>
    </x:row>
    <x:row r="4">
      <x:c r="A4" s="64" t="str">
        <x:v>Protected original remains unchanged</x:v>
      </x:c>
      <x:c r="B4" s="64" t="str">
        <x:v>Workbook SHA-256</x:v>
      </x:c>
      <x:c r="C4" s="64" t="str">
        <x:v>Same as pre-run hash</x:v>
      </x:c>
      <x:c r="D4" s="64" t="str">
        <x:v>Pending external comparison</x:v>
      </x:c>
      <x:c r="E4" s="64" t="str">
        <x:v>PENDING</x:v>
      </x:c>
      <x:c r="F4" s="64" t="str">
        <x:v>Checked by acceptance evidence</x:v>
      </x:c>
    </x:row>
    <x:row r="5">
      <x:c r="A5" s="64" t="str">
        <x:v>Q2 actual input cells</x:v>
      </x:c>
      <x:c r="B5" s="64" t="str">
        <x:v>Operating Model!C6,C7,C9,C11</x:v>
      </x:c>
      <x:c r="C5" s="64" t="str">
        <x:v>Source-backed values only</x:v>
      </x:c>
      <x:c r="D5" s="64" t="str">
        <x:v>Pending candidate</x:v>
      </x:c>
      <x:c r="E5" s="64" t="str">
        <x:v>PENDING</x:v>
      </x:c>
      <x:c r="F5" s="64" t="str">
        <x:v>Checked after candidate production</x:v>
      </x:c>
    </x:row>
    <x:row r="6">
      <x:c r="A6" s="64" t="str">
        <x:v>Q2 derived formulas</x:v>
      </x:c>
      <x:c r="B6" s="64" t="str">
        <x:v>Operating Model!C8,C10</x:v>
      </x:c>
      <x:c r="C6" s="64" t="str">
        <x:v>Formulas preserved</x:v>
      </x:c>
      <x:c r="D6" s="64" t="str">
        <x:v>Pending candidate</x:v>
      </x:c>
      <x:c r="E6" s="64" t="str">
        <x:v>PENDING</x:v>
      </x:c>
      <x:c r="F6" s="64" t="str">
        <x:v>Checked after candidate production</x:v>
      </x:c>
    </x:row>
    <x:row r="7">
      <x:c r="A7" s="64" t="str">
        <x:v>Forecast range</x:v>
      </x:c>
      <x:c r="B7" s="64" t="str">
        <x:v>Operating Model!D6:E11</x:v>
      </x:c>
      <x:c r="C7" s="64" t="str">
        <x:v>Values/formulas preserved</x:v>
      </x:c>
      <x:c r="D7" s="64" t="str">
        <x:v>Pending candidate</x:v>
      </x:c>
      <x:c r="E7" s="64" t="str">
        <x:v>PENDING</x:v>
      </x:c>
      <x:c r="F7" s="64" t="str">
        <x:v>Checked after candidate production</x:v>
      </x:c>
    </x:row>
    <x:row r="8">
      <x:c r="A8" s="64"/>
      <x:c r="B8" s="64"/>
      <x:c r="C8" s="64"/>
      <x:c r="D8" s="64"/>
      <x:c r="E8" s="64"/>
      <x:c r="F8" s="64"/>
    </x:row>
    <x:row r="9" ht="34" customHeight="1">
      <x:c r="A9" s="62" t="str">
        <x:v>This sheet states the acceptance boundary; the host must still inspect, edit, and validate a candidate with a real runtime capability.</x:v>
      </x:c>
      <x:c r="B9" s="62"/>
      <x:c r="C9" s="62"/>
      <x:c r="D9" s="62"/>
      <x:c r="E9" s="62"/>
      <x:c r="F9" s="62"/>
    </x:row>
  </x:sheetData>
  <x:mergeCells>
    <x:mergeCell ref="A1:F1"/>
    <x:mergeCell ref="A9:F9"/>
  </x:mergeCells>
  <x:pageMargins left="0.7" right="0.7" top="0.75" bottom="0.75" header="0.3" footer="0.3"/>
</x:worksheet>
</file>