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833dda581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 Model" sheetId="1" r:id="Ra2482cab401c40d9"/>
    <x:sheet xmlns:r="http://schemas.openxmlformats.org/officeDocument/2006/relationships" name="Audit &amp; Sources" sheetId="2" r:id="R4a2ee4fe31a448eb"/>
  </x:sheets>
</x:workbook>
</file>

<file path=xl/comments1.xml><?xml version="1.0" encoding="utf-8"?>
<x:comments xmlns:x="http://schemas.openxmlformats.org/spreadsheetml/2006/main">
  <x:authors>
    <x:author>tc={6ED140C1-3DD7-4117-BF6D-BC828C922295}</x:author>
    <x:author>tc={751B853A-28E9-483A-8F6D-86702C81C3A7}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Source-backed input. Do not replace the linked model formula.</x:t>
        </x:r>
      </x:text>
    </x:comment>
    <x:comment ref="C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Closing cash input; preserve units and source ID.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i/>
      <x:sz val="11"/>
      <x:color rgb="FF37415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</x:fills>
  <x:borders count="2">
    <x:border/>
    <x:border>
      <x:top style="thin">
        <x:color rgb="FF7F8C8D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200" fontId="0" fillId="0" borderId="1" xfId="0" applyNumberFormat="1" applyFont="1" applyFill="1" applyBorder="1"/>
    <x:xf numFmtId="200" fontId="5" fillId="5" borderId="1" xfId="0" applyNumberFormat="1" applyFont="1" applyFill="1" applyBorder="1"/>
    <x:xf numFmtId="200" fontId="4" fillId="4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2d8df9842483f" /><Relationship Type="http://schemas.openxmlformats.org/officeDocument/2006/relationships/theme" Target="/xl/theme/theme1.xml" Id="Ra6653cf5ae5e4d26" /><Relationship Type="http://schemas.openxmlformats.org/officeDocument/2006/relationships/sharedStrings" Target="/xl/sharedStrings.xml" Id="R6748266af5064078" /><Relationship Type="http://schemas.openxmlformats.org/officeDocument/2006/relationships/worksheet" Target="/xl/worksheets/sheet1.xml" Id="Ra2482cab401c40d9" /><Relationship Type="http://schemas.openxmlformats.org/officeDocument/2006/relationships/worksheet" Target="/xl/worksheets/sheet2.xml" Id="R4a2ee4fe31a448eb" /><Relationship Type="http://schemas.microsoft.com/office/2017/10/relationships/person" Target="/xl/persons/person.xml" Id="Rb8ffe1647bd94ed2" /></Relationships>
</file>

<file path=xl/persons/person.xml><?xml version="1.0" encoding="utf-8"?>
<xltc:personList xmlns:xltc="http://schemas.microsoft.com/office/spreadsheetml/2018/threadedcomments">
  <xltc:person displayName="User" id="{C9D9A417-9E05-454F-8A4F-E96E8C714524}"/>
</xltc:personList>
</file>

<file path=xl/tables/table1.xml><?xml version="1.0" encoding="utf-8"?>
<x:table xmlns:x="http://schemas.openxmlformats.org/spreadsheetml/2006/main" id="1" name="VariantActualsInputs" displayName="VariantActualsInputs" ref="A3:F8" headerRowCount="1" totalsRowCount="0" totalsRowShown="0">
  <x:tableColumns count="6">
    <x:tableColumn id="1" name="Source ID"/>
    <x:tableColumn id="2" name="Metric"/>
    <x:tableColumn id="3" name="Q2 Input"/>
    <x:tableColumn id="4" name="Units"/>
    <x:tableColumn id="5" name="Source status"/>
    <x:tableColumn id="6" name="Reviewer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5" dT="2026-09-02T10:08:06.198" personId="{C9D9A417-9E05-454F-8A4F-E96E8C714524}" id="{6ED140C1-3DD7-4117-BF6D-BC828C922295}">
    <xltc:text>Source-backed input. Do not replace the linked model formula.</xltc:text>
  </xltc:threadedComment>
  <xltc:threadedComment ref="C8" dT="2026-09-02T10:08:06.2" personId="{C9D9A417-9E05-454F-8A4F-E96E8C714524}" id="{751B853A-28E9-483A-8F6D-86702C81C3A7}">
    <xltc:text>Closing cash input; preserve units and source ID.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730998352134342" /><Relationship Type="http://schemas.openxmlformats.org/officeDocument/2006/relationships/vmlDrawing" Target="/xl/drawings/vmldrawing.vml" Id="Rdd096597724c4f31" /><Relationship Type="http://schemas.microsoft.com/office/2017/10/relationships/threadedComment" Target="/xl/threadedcomments/threadedcomment.xml" Id="R405a1f3840e04780" /><Relationship Type="http://schemas.openxmlformats.org/officeDocument/2006/relationships/table" Target="/xl/tables/table1.xml" Id="Rb207f9ec0fb340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32" customHeight="1">
      <x:c r="A1" s="3" t="str">
        <x:v>Acorn Data — Operating Model Variant</x:v>
      </x:c>
      <x:c r="B1" s="3" t="str">
        <x:v>Acorn Data — Operating Model Variant</x:v>
      </x:c>
      <x:c r="C1" s="3" t="str">
        <x:v>Acorn Data — Operating Model Variant</x:v>
      </x:c>
      <x:c r="D1" s="3" t="str">
        <x:v>Acorn Data — Operating Model Variant</x:v>
      </x:c>
      <x:c r="E1" s="3" t="str">
        <x:v>Acorn Data — Operating Model Variant</x:v>
      </x:c>
      <x:c r="F1" s="3" t="str">
        <x:v>Acorn Data — Operating Model Variant</x:v>
      </x:c>
    </x:row>
    <x:row r="3">
      <x:c r="A3" s="5" t="str">
        <x:v>Currency / units</x:v>
      </x:c>
      <x:c r="B3" s="5" t="str">
        <x:v>GBP millions</x:v>
      </x:c>
      <x:c r="C3" s="5"/>
      <x:c r="D3" s="5" t="str">
        <x:v>Fixture status</x:v>
      </x:c>
      <x:c r="E3" s="5" t="str">
        <x:v>Protected client original — Variant B</x:v>
      </x:c>
      <x:c r="F3" s="5"/>
    </x:row>
    <x:row r="5">
      <x:c r="A5" s="6" t="str">
        <x:v>Metric</x:v>
      </x:c>
      <x:c r="B5" s="6" t="str">
        <x:v>Q1 Actual</x:v>
      </x:c>
      <x:c r="C5" s="6" t="str">
        <x:v>Q2 Actual</x:v>
      </x:c>
      <x:c r="D5" s="6" t="str">
        <x:v>Q3 Forecast</x:v>
      </x:c>
      <x:c r="E5" s="6" t="str">
        <x:v>Q4 Forecast</x:v>
      </x:c>
      <x:c r="F5" s="6" t="str">
        <x:v>Source ID</x:v>
      </x:c>
    </x:row>
    <x:row r="6">
      <x:c r="A6" t="str">
        <x:v>Revenue</x:v>
      </x:c>
      <x:c r="B6" s="7" t="n">
        <x:v>11.8</x:v>
      </x:c>
      <x:c r="C6" s="15" t="n">
        <x:f>'Audit &amp; Sources'!$C$5</x:f>
        <x:v>0</x:v>
      </x:c>
      <x:c r="D6" s="11" t="n">
        <x:v>13.5</x:v>
      </x:c>
      <x:c r="E6" s="11" t="n">
        <x:v>14.6</x:v>
      </x:c>
      <x:c r="F6" t="str">
        <x:v>SRC-REV</x:v>
      </x:c>
    </x:row>
    <x:row r="7">
      <x:c r="A7" t="str">
        <x:v>Gross profit</x:v>
      </x:c>
      <x:c r="B7" s="7" t="n">
        <x:v>7.6</x:v>
      </x:c>
      <x:c r="C7" s="15" t="n">
        <x:f>'Audit &amp; Sources'!$C$6</x:f>
        <x:v>0</x:v>
      </x:c>
      <x:c r="D7" s="11" t="n">
        <x:v>8.8</x:v>
      </x:c>
      <x:c r="E7" s="11" t="n">
        <x:v>9.6</x:v>
      </x:c>
      <x:c r="F7" t="str">
        <x:v>SRC-GP</x:v>
      </x:c>
    </x:row>
    <x:row r="8">
      <x:c r="A8" t="str">
        <x:v>Gross margin</x:v>
      </x:c>
      <x:c r="B8" s="8" t="n">
        <x:f>IF(B6=0,0,B7/B6)</x:f>
        <x:v>0.6440677966101694</x:v>
      </x:c>
      <x:c r="C8" s="16" t="n">
        <x:f>IF(C6=0,0,C7/C6)</x:f>
        <x:v>0</x:v>
      </x:c>
      <x:c r="D8" s="12" t="n">
        <x:f>IF(D6=0,0,D7/D6)</x:f>
        <x:v>0.6518518518518519</x:v>
      </x:c>
      <x:c r="E8" s="12" t="n">
        <x:f>IF(E6=0,0,E7/E6)</x:f>
        <x:v>0.6575342465753424</x:v>
      </x:c>
      <x:c r="F8" t="str">
        <x:v>derived</x:v>
      </x:c>
    </x:row>
    <x:row r="9">
      <x:c r="A9" t="str">
        <x:v>Sales &amp; marketing expense</x:v>
      </x:c>
      <x:c r="B9" s="7" t="n">
        <x:v>3.8</x:v>
      </x:c>
      <x:c r="C9" s="15" t="n">
        <x:f>'Audit &amp; Sources'!$C$7</x:f>
        <x:v>0</x:v>
      </x:c>
      <x:c r="D9" s="11" t="n">
        <x:v>4.2</x:v>
      </x:c>
      <x:c r="E9" s="11" t="n">
        <x:v>4.4</x:v>
      </x:c>
      <x:c r="F9" t="str">
        <x:v>SRC-SM</x:v>
      </x:c>
    </x:row>
    <x:row r="10">
      <x:c r="A10" t="str">
        <x:v>Contribution after S&amp;M</x:v>
      </x:c>
      <x:c r="B10" s="17" t="n">
        <x:f>ROUND(B7-B9,1)</x:f>
        <x:v>3.8</x:v>
      </x:c>
      <x:c r="C10" s="18" t="n">
        <x:f>ROUND(C7-C9,1)</x:f>
        <x:v>0</x:v>
      </x:c>
      <x:c r="D10" s="19" t="n">
        <x:f>ROUND(D7-D9,1)</x:f>
        <x:v>4.6</x:v>
      </x:c>
      <x:c r="E10" s="19" t="n">
        <x:f>ROUND(E7-E9,1)</x:f>
        <x:v>5.2</x:v>
      </x:c>
      <x:c r="F10" t="str">
        <x:v>derived</x:v>
      </x:c>
    </x:row>
    <x:row r="11">
      <x:c r="A11" t="str">
        <x:v>Closing cash</x:v>
      </x:c>
      <x:c r="B11" s="7" t="n">
        <x:v>19.5</x:v>
      </x:c>
      <x:c r="C11" s="15" t="n">
        <x:f>'Audit &amp; Sources'!$C$8</x:f>
        <x:v>0</x:v>
      </x:c>
      <x:c r="D11" s="11" t="n">
        <x:v>17.2</x:v>
      </x:c>
      <x:c r="E11" s="11" t="n">
        <x:v>15.8</x:v>
      </x:c>
      <x:c r="F11" t="str">
        <x:v>SRC-CASH</x:v>
      </x:c>
    </x:row>
    <x:row r="13">
      <x:c r="A13" s="22" t="str">
        <x:v>Variant update boundary</x:v>
      </x:c>
      <x:c r="B13" s="22"/>
      <x:c r="C13" s="22"/>
      <x:c r="D13" s="22"/>
      <x:c r="E13" s="22"/>
      <x:c r="F13" s="22"/>
    </x:row>
    <x:row r="14" ht="44" customHeight="1">
      <x:c r="A14" s="22" t="str">
        <x:v>Only Audit &amp; Sources!C5:C8 may receive source-backed actuals. Model C6, C7, C9 and C11 remain cross-sheet formulas. Preserve formulas, forecast D:E, source IDs, table/validation, styles and calculation behavior.</x:v>
      </x:c>
      <x:c r="B14" s="22"/>
      <x:c r="C14" s="22"/>
      <x:c r="D14" s="22"/>
      <x:c r="E14" s="22"/>
      <x:c r="F14" s="22"/>
    </x:row>
  </x:sheetData>
  <x:mergeCells>
    <x:mergeCell ref="A1:F1"/>
    <x:mergeCell ref="E3:F3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31" hidden="0" customWidth="1"/>
    <x:col min="4" max="4" width="29" hidden="0" customWidth="1"/>
    <x:col min="5" max="5" width="22" hidden="0" customWidth="1"/>
    <x:col min="6" max="6" width="30" hidden="0" customWidth="1"/>
  </x:cols>
  <x:sheetData>
    <x:row r="1">
      <x:c r="A1" s="23" t="str">
        <x:v>Variant audit contract and input staging</x:v>
      </x:c>
      <x:c r="B1" s="23" t="str">
        <x:v>Variant audit contract and input staging</x:v>
      </x:c>
      <x:c r="C1" s="23" t="str">
        <x:v>Variant audit contract and input staging</x:v>
      </x:c>
      <x:c r="D1" s="23" t="str">
        <x:v>Variant audit contract and input staging</x:v>
      </x:c>
      <x:c r="E1" s="23" t="str">
        <x:v>Variant audit contract and input staging</x:v>
      </x:c>
      <x:c r="F1" s="23" t="str">
        <x:v>Variant audit contract and input staging</x:v>
      </x:c>
    </x:row>
    <x:row r="3">
      <x:c r="A3" s="24" t="str">
        <x:v>Source ID</x:v>
      </x:c>
      <x:c r="B3" s="24" t="str">
        <x:v>Metric</x:v>
      </x:c>
      <x:c r="C3" s="24" t="str">
        <x:v>Q2 Input</x:v>
      </x:c>
      <x:c r="D3" s="24" t="str">
        <x:v>Units</x:v>
      </x:c>
      <x:c r="E3" s="24" t="str">
        <x:v>Source status</x:v>
      </x:c>
      <x:c r="F3" s="24" t="str">
        <x:v>Reviewer state</x:v>
      </x:c>
    </x:row>
    <x:row r="5">
      <x:c r="A5" t="str">
        <x:v>SRC-REV</x:v>
      </x:c>
      <x:c r="B5" t="str">
        <x:v>Revenue</x:v>
      </x:c>
      <x:c r="C5" s="27"/>
      <x:c r="D5" t="str">
        <x:v>GBP millions</x:v>
      </x:c>
      <x:c r="E5" t="str">
        <x:v>SUPPLIED</x:v>
      </x:c>
      <x:c r="F5" t="str">
        <x:v>Pending</x:v>
      </x:c>
    </x:row>
    <x:row r="6">
      <x:c r="A6" t="str">
        <x:v>SRC-GP</x:v>
      </x:c>
      <x:c r="B6" t="str">
        <x:v>Gross profit</x:v>
      </x:c>
      <x:c r="C6" s="27"/>
      <x:c r="D6" t="str">
        <x:v>GBP millions</x:v>
      </x:c>
      <x:c r="E6" t="str">
        <x:v>SUPPLIED</x:v>
      </x:c>
      <x:c r="F6" t="str">
        <x:v>Pending</x:v>
      </x:c>
    </x:row>
    <x:row r="7">
      <x:c r="A7" t="str">
        <x:v>SRC-SM</x:v>
      </x:c>
      <x:c r="B7" t="str">
        <x:v>Sales &amp; marketing expense</x:v>
      </x:c>
      <x:c r="C7" s="27"/>
      <x:c r="D7" t="str">
        <x:v>GBP millions</x:v>
      </x:c>
      <x:c r="E7" t="str">
        <x:v>SUPPLIED</x:v>
      </x:c>
      <x:c r="F7" t="str">
        <x:v>Pending</x:v>
      </x:c>
    </x:row>
    <x:row r="8">
      <x:c r="A8" t="str">
        <x:v>SRC-CASH</x:v>
      </x:c>
      <x:c r="B8" t="str">
        <x:v>Closing cash</x:v>
      </x:c>
      <x:c r="C8" s="27"/>
      <x:c r="D8" t="str">
        <x:v>GBP millions</x:v>
      </x:c>
      <x:c r="E8" t="str">
        <x:v>SUPPLIED</x:v>
      </x:c>
      <x:c r="F8" t="str">
        <x:v>Pending</x:v>
      </x:c>
    </x:row>
    <x:row r="10">
      <x:c r="A10" s="28" t="str">
        <x:v>Check</x:v>
      </x:c>
      <x:c r="B10" s="28" t="str">
        <x:v>Target</x:v>
      </x:c>
      <x:c r="C10" s="28" t="str">
        <x:v>Expected</x:v>
      </x:c>
      <x:c r="D10" s="28" t="str">
        <x:v>Actual</x:v>
      </x:c>
      <x:c r="E10" s="28" t="str">
        <x:v>Status</x:v>
      </x:c>
      <x:c r="F10" s="28" t="str">
        <x:v>Reason</x:v>
      </x:c>
    </x:row>
    <x:row r="11">
      <x:c r="A11" t="str">
        <x:v>Protected original</x:v>
      </x:c>
      <x:c r="B11" t="str">
        <x:v>Workbook SHA-256</x:v>
      </x:c>
      <x:c r="C11" t="str">
        <x:v>Unchanged</x:v>
      </x:c>
      <x:c r="D11" t="str">
        <x:v>Pending external comparison</x:v>
      </x:c>
      <x:c r="E11" t="str">
        <x:v>PENDING</x:v>
      </x:c>
      <x:c r="F11" t="str">
        <x:v>Controller evidence</x:v>
      </x:c>
    </x:row>
    <x:row r="12">
      <x:c r="A12" t="str">
        <x:v>Input range</x:v>
      </x:c>
      <x:c r="B12" t="str">
        <x:v>Audit &amp; Sources!C5:C8</x:v>
      </x:c>
      <x:c r="C12" t="str">
        <x:v>Source-backed values</x:v>
      </x:c>
      <x:c r="D12" t="str">
        <x:v>Pending candidate</x:v>
      </x:c>
      <x:c r="E12" t="str">
        <x:v>PENDING</x:v>
      </x:c>
      <x:c r="F12" t="str">
        <x:v>Candidate inspection</x:v>
      </x:c>
    </x:row>
    <x:row r="13">
      <x:c r="A13" t="str">
        <x:v>Cross-sheet links</x:v>
      </x:c>
      <x:c r="B13" t="str">
        <x:v>Variant Model!C6,C7,C9,C11</x:v>
      </x:c>
      <x:c r="C13" t="str">
        <x:v>Formulas preserved</x:v>
      </x:c>
      <x:c r="D13" t="str">
        <x:v>Pending candidate</x:v>
      </x:c>
      <x:c r="E13" t="str">
        <x:v>PENDING</x:v>
      </x:c>
      <x:c r="F13" t="str">
        <x:v>Formula manifest</x:v>
      </x:c>
    </x:row>
    <x:row r="14">
      <x:c r="A14" t="str">
        <x:v>Forecast range</x:v>
      </x:c>
      <x:c r="B14" t="str">
        <x:v>Variant Model!D6:E11</x:v>
      </x:c>
      <x:c r="C14" t="str">
        <x:v>Values/formulas/styles preserved</x:v>
      </x:c>
      <x:c r="D14" t="str">
        <x:v>Pending candidate</x:v>
      </x:c>
      <x:c r="E14" t="str">
        <x:v>PENDING</x:v>
      </x:c>
      <x:c r="F14" t="str">
        <x:v>Unchanged-region diff</x:v>
      </x:c>
    </x:row>
    <x:row r="15">
      <x:c r="A15" t="str">
        <x:v>Feature contract</x:v>
      </x:c>
      <x:c r="B15" t="str">
        <x:v>Table, validation, source IDs, styles</x:v>
      </x:c>
      <x:c r="C15" t="str">
        <x:v>Preserved</x:v>
      </x:c>
      <x:c r="D15" t="str">
        <x:v>Pending candidate</x:v>
      </x:c>
      <x:c r="E15" t="str">
        <x:v>PENDING</x:v>
      </x:c>
      <x:c r="F15" t="str">
        <x:v>Structural manifest</x:v>
      </x:c>
    </x:row>
    <x:row r="17" ht="36" customHeight="1">
      <x:c r="A17" s="30" t="str">
        <x:v>This is a public fixture boundary, not proof. The verifier mutates values, ranges and features after source freeze and requires native reopen/recalculation.</x:v>
      </x:c>
      <x:c r="B17" s="30" t="str">
        <x:v>This is a public fixture boundary, not proof. The verifier mutates values, ranges and features after source freeze and requires native reopen/recalculation.</x:v>
      </x:c>
      <x:c r="C17" s="30" t="str">
        <x:v>This is a public fixture boundary, not proof. The verifier mutates values, ranges and features after source freeze and requires native reopen/recalculation.</x:v>
      </x:c>
      <x:c r="D17" s="30" t="str">
        <x:v>This is a public fixture boundary, not proof. The verifier mutates values, ranges and features after source freeze and requires native reopen/recalculation.</x:v>
      </x:c>
      <x:c r="E17" s="30" t="str">
        <x:v>This is a public fixture boundary, not proof. The verifier mutates values, ranges and features after source freeze and requires native reopen/recalculation.</x:v>
      </x:c>
      <x:c r="F17" s="30" t="str">
        <x:v>This is a public fixture boundary, not proof. The verifier mutates values, ranges and features after source freeze and requires native reopen/recalculation.</x:v>
      </x:c>
    </x:row>
  </x:sheetData>
  <x:mergeCells>
    <x:mergeCell ref="A1:F1"/>
    <x:mergeCell ref="A17:F17"/>
  </x:mergeCells>
  <x:conditionalFormatting sqref="E11:E15">
    <x:cfRule type="containsText" dxfId="0" priority="1" operator="containsText" text="PENDING"/>
  </x:conditionalFormatting>
  <x:dataValidations count="1">
    <x:dataValidation type="list" sqref="F5:F8">
      <x:formula1>"Pending,Checked,Exception"</x:formula1>
    </x:dataValidation>
  </x:dataValidations>
  <x:pageMargins left="0.7" right="0.7" top="0.75" bottom="0.75" header="0.3" footer="0.3"/>
  <x:legacyDrawing xmlns:r="http://schemas.openxmlformats.org/officeDocument/2006/relationships" r:id="Rdd096597724c4f31"/>
  <x:tableParts count="1">
    <x:tablePart xmlns:r="http://schemas.openxmlformats.org/officeDocument/2006/relationships" r:id="Rb207f9ec0fb34002"/>
  </x:tableParts>
</x:worksheet>
</file>